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G18" i="2" l="1"/>
  <c r="G17" i="2"/>
  <c r="G16" i="2"/>
  <c r="G15" i="2"/>
  <c r="G14" i="2"/>
  <c r="D17" i="2"/>
  <c r="D16" i="2"/>
  <c r="G13" i="2"/>
  <c r="G12" i="2"/>
  <c r="G11" i="2"/>
  <c r="G10" i="2"/>
  <c r="G9" i="2"/>
  <c r="G8" i="2" l="1"/>
  <c r="G6" i="2"/>
  <c r="G5" i="2"/>
  <c r="G4" i="2"/>
</calcChain>
</file>

<file path=xl/sharedStrings.xml><?xml version="1.0" encoding="utf-8"?>
<sst xmlns="http://schemas.openxmlformats.org/spreadsheetml/2006/main" count="62" uniqueCount="45">
  <si>
    <t>Product name</t>
  </si>
  <si>
    <t>Product description</t>
  </si>
  <si>
    <t>Product link</t>
  </si>
  <si>
    <t>Product unit cost inc. Tax (€)</t>
  </si>
  <si>
    <t>Product amount</t>
  </si>
  <si>
    <t>Product total cost (€)</t>
  </si>
  <si>
    <t>Running total (€ with tax and shipping)</t>
  </si>
  <si>
    <t>YD-RP2040</t>
  </si>
  <si>
    <t>Link</t>
  </si>
  <si>
    <t>M3x8 screws</t>
  </si>
  <si>
    <t>Raspbery Pico like microcntroller board</t>
  </si>
  <si>
    <t>74AHCT125</t>
  </si>
  <si>
    <t>Logic level shifter</t>
  </si>
  <si>
    <t>Decoupling capacitors</t>
  </si>
  <si>
    <t>link</t>
  </si>
  <si>
    <t>470µF  bulk capacitor 7343</t>
  </si>
  <si>
    <t>Bulk capacitors</t>
  </si>
  <si>
    <t>Pull up resistor</t>
  </si>
  <si>
    <t>4.7Ω 0805 Resistor</t>
  </si>
  <si>
    <t>330Ω 0805 Resistor</t>
  </si>
  <si>
    <t>SOD-123 diode</t>
  </si>
  <si>
    <t>keyboard matrix diode</t>
  </si>
  <si>
    <t>SK 6812 Mini e rgb leds</t>
  </si>
  <si>
    <t>Keyswitch leds</t>
  </si>
  <si>
    <t>Ec 11 e switch rotary encoder</t>
  </si>
  <si>
    <t>Rotary encoder knob</t>
  </si>
  <si>
    <t>Gateroon Jupiter banana</t>
  </si>
  <si>
    <t>Knob for the rotary encoder</t>
  </si>
  <si>
    <t>Creamy mechanical switches</t>
  </si>
  <si>
    <t>Pcb sockets for the switches</t>
  </si>
  <si>
    <t>Gateron hot swap sockets x110</t>
  </si>
  <si>
    <t>Silicone feet 12x3</t>
  </si>
  <si>
    <t>For case assembly</t>
  </si>
  <si>
    <t>Anti slip feet for the botttom of the case</t>
  </si>
  <si>
    <t xml:space="preserve"> 0.91 inch OLED display 128x32 white</t>
  </si>
  <si>
    <t>For testing and shortcuts</t>
  </si>
  <si>
    <t>0.1 µF 0805 smd capacitor x 100</t>
  </si>
  <si>
    <t>Same pack as 4.7Ω 0805 Resistor</t>
  </si>
  <si>
    <t>Hot melt inserts M3xL4xOD4.2</t>
  </si>
  <si>
    <t xml:space="preserve">Pcb </t>
  </si>
  <si>
    <t>Voltge regualtor</t>
  </si>
  <si>
    <t>The twisty thing on the top right</t>
  </si>
  <si>
    <t>Estimated price</t>
  </si>
  <si>
    <t>Keycap set</t>
  </si>
  <si>
    <t>Keycaps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</si>
</sst>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Нормален" xfId="0" builtinId="0"/>
    <cellStyle name="Хипервръзка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6727416963.html?spm=a2g0o.cart.0.0.2a2538daKUVjFt&amp;mp=1&amp;pdp_npi=6%40dis%21EUR%21EUR%203.65%21EUR%203.65%21%21EUR%203.65%21%21%21%40211b80d117722280293204214e3162%2112000038107197680%21ct%21BG%214132529388%21%211%210%21" TargetMode="External"/><Relationship Id="rId13" Type="http://schemas.openxmlformats.org/officeDocument/2006/relationships/hyperlink" Target="https://www.aliexpress.com/item/1005006954839245.html" TargetMode="External"/><Relationship Id="rId18" Type="http://schemas.openxmlformats.org/officeDocument/2006/relationships/hyperlink" Target="https://www.aliexpress.com/item/1005010386452956.html?spm=a2g0o.productlist.main.13.29e8addel8Whl2&amp;algo_pvid=89e566e0-a437-4039-bc4a-b144a19a187f&amp;algo_exp_id=89e566e0-a437-4039-bc4a-b144a19a187f-12&amp;pdp_ext_f=%7B%22order%22%3A%223%22%2C%22eval%22%3A%221%22" TargetMode="External"/><Relationship Id="rId3" Type="http://schemas.openxmlformats.org/officeDocument/2006/relationships/hyperlink" Target="https://www.aliexpress.com/item/1005007470747384.html" TargetMode="External"/><Relationship Id="rId7" Type="http://schemas.openxmlformats.org/officeDocument/2006/relationships/hyperlink" Target="https://www.aliexpress.com/item/1005010653199938.html?spm=a2g0o.productlist.main.1.41ce7cffdCuZJ2&amp;algo_pvid=6015e6cd-d7dd-408b-bb0c-7b7283e2c5be&amp;algo_exp_id=6015e6cd-d7dd-408b-bb0c-7b7283e2c5be-0&amp;pdp_ext_f=%7B%22order%22%3A%221102%22%2C%22eval%22%3A%221%252" TargetMode="External"/><Relationship Id="rId12" Type="http://schemas.openxmlformats.org/officeDocument/2006/relationships/hyperlink" Target="https://www.gateron.com/products/gateron-hot-swap-pcb-socket?VariantsId=10171" TargetMode="External"/><Relationship Id="rId17" Type="http://schemas.openxmlformats.org/officeDocument/2006/relationships/hyperlink" Target="https://jlcpcb.com/" TargetMode="External"/><Relationship Id="rId2" Type="http://schemas.openxmlformats.org/officeDocument/2006/relationships/hyperlink" Target="https://www.aliexpress.com/item/1005010022053816.html" TargetMode="External"/><Relationship Id="rId16" Type="http://schemas.openxmlformats.org/officeDocument/2006/relationships/hyperlink" Target="https://www.aliexpress.com/item/1005009624144115.html?spm=a2g0o.productlist.main.3.1fe413dd8lQkqx&amp;algo_pvid=80ecd1ad-8f77-4f8e-9f8c-66142b35cdf1&amp;algo_exp_id=80ecd1ad-8f77-4f8e-9f8c-66142b35cdf1-2&amp;pdp_ext_f=%7B%22order%22%3A%22174%22%2C%22eval%22%3A%221%22" TargetMode="External"/><Relationship Id="rId1" Type="http://schemas.openxmlformats.org/officeDocument/2006/relationships/hyperlink" Target="https://www.aliexpress.com/item/1005005617180169.html?spm=a2g0o.detail.pcDetailTopMoreOtherSeller.1.3aab5Z9c5Z9cUL&amp;gps-id=pcDetailTopMoreOtherSeller&amp;scm=1007.40050.354490.0&amp;scm_id=1007.40050.354490.0&amp;scm-url=1007.40050.354490.0&amp;pvid=7aa65bf6-a73d-4e22-a0f" TargetMode="External"/><Relationship Id="rId6" Type="http://schemas.openxmlformats.org/officeDocument/2006/relationships/hyperlink" Target="https://www.aliexpress.com/item/1005010759489629.html?spm=a2g0o.productlist.main.1.83363f0fHtYqEk&amp;algo_pvid=fd93feb2-535a-4986-8c65-4ce09c7822f3&amp;algo_exp_id=fd93feb2-535a-4986-8c65-4ce09c7822f3-0&amp;pdp_ext_f=%7B%22order%22%3A%22443%22%2C%22eval%22%3A%221%22" TargetMode="External"/><Relationship Id="rId11" Type="http://schemas.openxmlformats.org/officeDocument/2006/relationships/hyperlink" Target="https://www.gateron.com/products/gateron-jupiter-switch-set?VariantsId=10736" TargetMode="External"/><Relationship Id="rId5" Type="http://schemas.openxmlformats.org/officeDocument/2006/relationships/hyperlink" Target="https://www.aliexpress.com/item/1005010759489629.html?spm=a2g0o.productlist.main.1.83363f0fHtYqEk&amp;algo_pvid=fd93feb2-535a-4986-8c65-4ce09c7822f3&amp;algo_exp_id=fd93feb2-535a-4986-8c65-4ce09c7822f3-0&amp;pdp_ext_f=%7B%22order%22%3A%22443%22%2C%22eval%22%3A%221%22" TargetMode="External"/><Relationship Id="rId15" Type="http://schemas.openxmlformats.org/officeDocument/2006/relationships/hyperlink" Target="https://www.aliexpress.com/item/1005006071488810.html" TargetMode="External"/><Relationship Id="rId10" Type="http://schemas.openxmlformats.org/officeDocument/2006/relationships/hyperlink" Target="https://www.aliexpress.com/item/1005009360298765.html?spm=a2g0o.productlist.main.1.70934bcfeowvSt&amp;algo_pvid=a1ed265f-ef19-49db-b5bd-a19a16d988f3&amp;algo_exp_id=a1ed265f-ef19-49db-b5bd-a19a16d988f3-0&amp;pdp_ext_f=%7B%22order%22%3A%22260%22%2C%22eval%22%3A%221%22" TargetMode="External"/><Relationship Id="rId4" Type="http://schemas.openxmlformats.org/officeDocument/2006/relationships/hyperlink" Target="https://www.aliexpress.com/item/1005003379476726.html?spm=a2g0o.productlist.0.0.5501662ffIqebR&amp;mp=1&amp;pdp_npi=6%40dis!USD!USD%204.54!USD%204.54!!USD%204.54!!!%40211b431017722256340728705eb590!12000025509441862!ct!BG!7453050691!!1!0!" TargetMode="External"/><Relationship Id="rId9" Type="http://schemas.openxmlformats.org/officeDocument/2006/relationships/hyperlink" Target="https://www.aliexpress.com/item/1005009360298765.html?spm=a2g0o.productlist.main.1.70934bcfeowvSt&amp;algo_pvid=a1ed265f-ef19-49db-b5bd-a19a16d988f3&amp;algo_exp_id=a1ed265f-ef19-49db-b5bd-a19a16d988f3-0&amp;pdp_ext_f=%7B%22order%22%3A%22260%22%2C%22eval%22%3A%221%22" TargetMode="External"/><Relationship Id="rId14" Type="http://schemas.openxmlformats.org/officeDocument/2006/relationships/hyperlink" Target="https://www.aliexpress.com/item/10050085855509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A7" workbookViewId="0">
      <selection activeCell="C19" sqref="C19"/>
    </sheetView>
  </sheetViews>
  <sheetFormatPr defaultRowHeight="15" x14ac:dyDescent="0.25"/>
  <cols>
    <col min="1" max="1" width="16.7109375" customWidth="1"/>
    <col min="2" max="2" width="20.5703125" customWidth="1"/>
    <col min="3" max="3" width="18.140625" customWidth="1"/>
    <col min="4" max="4" width="29.140625" customWidth="1"/>
    <col min="5" max="5" width="18.140625" customWidth="1"/>
    <col min="6" max="6" width="20.140625" customWidth="1"/>
    <col min="7" max="7" width="3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 x14ac:dyDescent="0.25">
      <c r="A2" s="1" t="s">
        <v>7</v>
      </c>
      <c r="B2" s="3" t="s">
        <v>10</v>
      </c>
      <c r="C2" s="2" t="s">
        <v>8</v>
      </c>
      <c r="D2" s="1">
        <v>1.42</v>
      </c>
      <c r="E2" s="1">
        <v>1</v>
      </c>
      <c r="F2" s="1">
        <v>1.42</v>
      </c>
      <c r="G2" s="1">
        <v>1.42</v>
      </c>
    </row>
    <row r="3" spans="1:7" x14ac:dyDescent="0.25">
      <c r="A3" s="1" t="s">
        <v>11</v>
      </c>
      <c r="B3" s="1" t="s">
        <v>12</v>
      </c>
      <c r="C3" s="2" t="s">
        <v>8</v>
      </c>
      <c r="D3" s="1">
        <v>2.95</v>
      </c>
      <c r="E3" s="1">
        <v>1</v>
      </c>
      <c r="F3" s="1">
        <v>2.95</v>
      </c>
      <c r="G3" s="1">
        <v>4.37</v>
      </c>
    </row>
    <row r="4" spans="1:7" ht="36.75" customHeight="1" x14ac:dyDescent="0.25">
      <c r="A4" s="3" t="s">
        <v>36</v>
      </c>
      <c r="B4" s="1" t="s">
        <v>13</v>
      </c>
      <c r="C4" s="2" t="s">
        <v>14</v>
      </c>
      <c r="D4" s="1">
        <v>1.61E-2</v>
      </c>
      <c r="E4" s="1">
        <v>100</v>
      </c>
      <c r="F4" s="1">
        <v>1.61</v>
      </c>
      <c r="G4" s="1">
        <f>SUM(F2:F4)</f>
        <v>5.98</v>
      </c>
    </row>
    <row r="5" spans="1:7" ht="46.5" customHeight="1" x14ac:dyDescent="0.25">
      <c r="A5" s="3" t="s">
        <v>15</v>
      </c>
      <c r="B5" s="1" t="s">
        <v>16</v>
      </c>
      <c r="C5" s="2" t="s">
        <v>8</v>
      </c>
      <c r="D5" s="1">
        <v>0.78800000000000003</v>
      </c>
      <c r="E5" s="1">
        <v>5</v>
      </c>
      <c r="F5" s="1">
        <v>3.94</v>
      </c>
      <c r="G5" s="1">
        <f>SUM(F2:F5)</f>
        <v>9.92</v>
      </c>
    </row>
    <row r="6" spans="1:7" ht="52.5" customHeight="1" x14ac:dyDescent="0.25">
      <c r="A6" s="1" t="s">
        <v>18</v>
      </c>
      <c r="B6" s="1" t="s">
        <v>17</v>
      </c>
      <c r="C6" s="2" t="s">
        <v>8</v>
      </c>
      <c r="D6" s="1">
        <v>4.0999999999999996</v>
      </c>
      <c r="E6" s="1">
        <v>1</v>
      </c>
      <c r="F6" s="1">
        <v>4.0999999999999996</v>
      </c>
      <c r="G6" s="1">
        <f>SUM(F2:F6)</f>
        <v>14.02</v>
      </c>
    </row>
    <row r="7" spans="1:7" ht="34.5" customHeight="1" x14ac:dyDescent="0.25">
      <c r="A7" s="3" t="s">
        <v>19</v>
      </c>
      <c r="B7" s="1" t="s">
        <v>40</v>
      </c>
      <c r="C7" s="2" t="s">
        <v>8</v>
      </c>
      <c r="D7" s="1" t="s">
        <v>37</v>
      </c>
      <c r="E7" s="1">
        <v>0</v>
      </c>
      <c r="F7" s="1">
        <v>0</v>
      </c>
      <c r="G7" s="1">
        <v>14.02</v>
      </c>
    </row>
    <row r="8" spans="1:7" ht="34.5" customHeight="1" x14ac:dyDescent="0.25">
      <c r="A8" s="3" t="s">
        <v>20</v>
      </c>
      <c r="B8" s="3" t="s">
        <v>21</v>
      </c>
      <c r="C8" s="2" t="s">
        <v>8</v>
      </c>
      <c r="D8" s="1">
        <v>1.83E-2</v>
      </c>
      <c r="E8" s="1">
        <v>100</v>
      </c>
      <c r="F8" s="1">
        <v>1.83</v>
      </c>
      <c r="G8" s="1">
        <f>SUM(F2:F8)</f>
        <v>15.85</v>
      </c>
    </row>
    <row r="9" spans="1:7" ht="30" x14ac:dyDescent="0.25">
      <c r="A9" s="3" t="s">
        <v>22</v>
      </c>
      <c r="B9" s="1" t="s">
        <v>23</v>
      </c>
      <c r="C9" s="2" t="s">
        <v>8</v>
      </c>
      <c r="D9" s="1">
        <v>3.6499999999999998E-2</v>
      </c>
      <c r="E9" s="1">
        <v>100</v>
      </c>
      <c r="F9" s="1">
        <v>3.65</v>
      </c>
      <c r="G9" s="1">
        <f>SUM(F2:F9)</f>
        <v>19.5</v>
      </c>
    </row>
    <row r="10" spans="1:7" ht="30" x14ac:dyDescent="0.25">
      <c r="A10" s="3" t="s">
        <v>24</v>
      </c>
      <c r="B10" s="3" t="s">
        <v>41</v>
      </c>
      <c r="C10" s="2" t="s">
        <v>8</v>
      </c>
      <c r="D10" s="1">
        <v>1.2849999999999999</v>
      </c>
      <c r="E10" s="1">
        <v>2</v>
      </c>
      <c r="F10" s="1">
        <v>2.57</v>
      </c>
      <c r="G10" s="1">
        <f>SUM(F2:F10)</f>
        <v>22.07</v>
      </c>
    </row>
    <row r="11" spans="1:7" ht="30" x14ac:dyDescent="0.25">
      <c r="A11" s="3" t="s">
        <v>25</v>
      </c>
      <c r="B11" s="3" t="s">
        <v>27</v>
      </c>
      <c r="C11" s="2" t="s">
        <v>8</v>
      </c>
      <c r="D11" s="1">
        <v>0.67500000000000004</v>
      </c>
      <c r="E11" s="1">
        <v>2</v>
      </c>
      <c r="F11" s="1">
        <v>1.35</v>
      </c>
      <c r="G11" s="1">
        <f>SUM(F2:F11)</f>
        <v>23.42</v>
      </c>
    </row>
    <row r="12" spans="1:7" ht="30" x14ac:dyDescent="0.25">
      <c r="A12" s="3" t="s">
        <v>26</v>
      </c>
      <c r="B12" s="3" t="s">
        <v>28</v>
      </c>
      <c r="C12" s="2" t="s">
        <v>8</v>
      </c>
      <c r="D12" s="1">
        <v>0.28000000000000003</v>
      </c>
      <c r="E12" s="1">
        <v>110</v>
      </c>
      <c r="F12" s="1">
        <v>30.8</v>
      </c>
      <c r="G12" s="1">
        <f>SUM(F2:F12)</f>
        <v>54.22</v>
      </c>
    </row>
    <row r="13" spans="1:7" ht="30" x14ac:dyDescent="0.25">
      <c r="A13" s="3" t="s">
        <v>30</v>
      </c>
      <c r="B13" s="3" t="s">
        <v>29</v>
      </c>
      <c r="C13" s="2" t="s">
        <v>8</v>
      </c>
      <c r="D13" s="1">
        <v>0.1</v>
      </c>
      <c r="E13" s="1">
        <v>110</v>
      </c>
      <c r="F13" s="1">
        <v>11</v>
      </c>
      <c r="G13" s="1">
        <f>SUM(F2:F13)</f>
        <v>65.22</v>
      </c>
    </row>
    <row r="14" spans="1:7" ht="30" x14ac:dyDescent="0.25">
      <c r="A14" s="3" t="s">
        <v>31</v>
      </c>
      <c r="B14" s="3" t="s">
        <v>33</v>
      </c>
      <c r="C14" s="2" t="s">
        <v>8</v>
      </c>
      <c r="D14" s="1">
        <v>0.20749999999999999</v>
      </c>
      <c r="E14" s="1">
        <v>4</v>
      </c>
      <c r="F14" s="1">
        <v>0.83</v>
      </c>
      <c r="G14" s="1">
        <f>SUM(F2:F14)</f>
        <v>66.05</v>
      </c>
    </row>
    <row r="15" spans="1:7" x14ac:dyDescent="0.25">
      <c r="A15" s="3" t="s">
        <v>9</v>
      </c>
      <c r="B15" s="3" t="s">
        <v>32</v>
      </c>
      <c r="C15" s="2" t="s">
        <v>8</v>
      </c>
      <c r="D15" s="1">
        <v>2.2799999999999998</v>
      </c>
      <c r="E15" s="1">
        <v>4</v>
      </c>
      <c r="F15" s="1">
        <v>2.2799999999999998</v>
      </c>
      <c r="G15" s="1">
        <f>SUM(F2:F15)</f>
        <v>68.33</v>
      </c>
    </row>
    <row r="16" spans="1:7" ht="30" x14ac:dyDescent="0.25">
      <c r="A16" s="3" t="s">
        <v>38</v>
      </c>
      <c r="B16" s="3" t="s">
        <v>32</v>
      </c>
      <c r="C16" s="2" t="s">
        <v>8</v>
      </c>
      <c r="D16" s="1">
        <f>F16/E16</f>
        <v>9.7333333333333327E-2</v>
      </c>
      <c r="E16" s="1">
        <v>30</v>
      </c>
      <c r="F16" s="1">
        <v>2.92</v>
      </c>
      <c r="G16" s="1">
        <f>SUM(F2:F16)</f>
        <v>71.25</v>
      </c>
    </row>
    <row r="17" spans="1:7" ht="45" x14ac:dyDescent="0.25">
      <c r="A17" s="3" t="s">
        <v>34</v>
      </c>
      <c r="B17" s="3" t="s">
        <v>35</v>
      </c>
      <c r="C17" s="2" t="s">
        <v>8</v>
      </c>
      <c r="D17" s="1">
        <f t="shared" ref="D17" si="0">F17/E17</f>
        <v>1.96</v>
      </c>
      <c r="E17" s="1">
        <v>1</v>
      </c>
      <c r="F17" s="1">
        <v>1.96</v>
      </c>
      <c r="G17" s="1">
        <f>SUM($F2:F17)</f>
        <v>73.209999999999994</v>
      </c>
    </row>
    <row r="18" spans="1:7" x14ac:dyDescent="0.25">
      <c r="A18" s="3" t="s">
        <v>39</v>
      </c>
      <c r="B18" s="3" t="s">
        <v>42</v>
      </c>
      <c r="C18" s="2" t="s">
        <v>8</v>
      </c>
      <c r="D18" s="1">
        <v>40</v>
      </c>
      <c r="E18" s="1">
        <v>1</v>
      </c>
      <c r="F18" s="1">
        <v>40</v>
      </c>
      <c r="G18" s="1">
        <f>SUM($F2:F18)</f>
        <v>113.21</v>
      </c>
    </row>
    <row r="19" spans="1:7" x14ac:dyDescent="0.25">
      <c r="A19" s="3" t="s">
        <v>43</v>
      </c>
      <c r="B19" s="3" t="s">
        <v>44</v>
      </c>
      <c r="C19" s="5" t="s">
        <v>8</v>
      </c>
      <c r="D19" s="1">
        <v>0.14199999999999999</v>
      </c>
      <c r="E19" s="1">
        <v>133</v>
      </c>
      <c r="F19" s="1">
        <v>18.82</v>
      </c>
      <c r="G19" s="4">
        <f>SUM(F2:F19)</f>
        <v>132.03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2026-03-05T19:39:22Z</dcterms:modified>
</cp:coreProperties>
</file>